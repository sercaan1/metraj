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r Schedul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#,##0.000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  <font>
      <b val="1"/>
      <sz val="12"/>
    </font>
    <font>
      <b val="1"/>
      <sz val="14"/>
    </font>
    <font>
      <b val="1"/>
      <color rgb="00FF0000"/>
      <sz val="12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  <xf numFmtId="4" fontId="3" fillId="3" borderId="1" pivotButton="0" quotePrefix="0" xfId="0"/>
    <xf numFmtId="0" fontId="4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165" fontId="0" fillId="0" borderId="1" pivotButton="0" quotePrefix="0" xfId="0"/>
    <xf numFmtId="0" fontId="3" fillId="3" borderId="1" pivotButton="0" quotePrefix="0" xfId="0"/>
    <xf numFmtId="165" fontId="3" fillId="3" borderId="1" pivotButton="0" quotePrefix="0" xfId="0"/>
    <xf numFmtId="0" fontId="5" fillId="0" borderId="0" pivotButton="0" quotePrefix="0" xfId="0"/>
    <xf numFmtId="166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6" customWidth="1" min="4" max="4"/>
    <col width="20" customWidth="1" min="5" max="5"/>
    <col width="15" customWidth="1" min="6" max="6"/>
  </cols>
  <sheetData>
    <row r="1">
      <c r="A1" s="1" t="inlineStr">
        <is>
          <t>STEEL QUANTITY TAKEOFF - ÇELİK METRAJ</t>
        </is>
      </c>
    </row>
    <row r="2">
      <c r="A2" t="inlineStr">
        <is>
          <t>Project: 1c9a8157</t>
        </is>
      </c>
    </row>
    <row r="3">
      <c r="A3" t="inlineStr">
        <is>
          <t>File: uploads\1c9a8157.dxf</t>
        </is>
      </c>
    </row>
    <row r="4">
      <c r="A4" t="inlineStr">
        <is>
          <t>Date: 2026-01-22 16:33</t>
        </is>
      </c>
    </row>
    <row r="6">
      <c r="A6" s="2" t="inlineStr">
        <is>
          <t>ÇAP</t>
        </is>
      </c>
      <c r="B6" s="2" t="inlineStr">
        <is>
          <t>TİP</t>
        </is>
      </c>
      <c r="C6" s="2" t="inlineStr">
        <is>
          <t>DEMİR ADEDİ</t>
        </is>
      </c>
      <c r="D6" s="2" t="inlineStr">
        <is>
          <t>TOPLAM BOY (m)</t>
        </is>
      </c>
      <c r="E6" s="2" t="inlineStr">
        <is>
          <t>BİRİM AĞIRLIK (kg/m)</t>
        </is>
      </c>
      <c r="F6" s="2" t="inlineStr">
        <is>
          <t>AĞIRLIK (kg)</t>
        </is>
      </c>
    </row>
    <row r="7">
      <c r="A7" s="3" t="inlineStr">
        <is>
          <t>ø10</t>
        </is>
      </c>
      <c r="B7" s="3" t="inlineStr">
        <is>
          <t>etriye</t>
        </is>
      </c>
      <c r="C7" s="3" t="n">
        <v>497</v>
      </c>
      <c r="D7" s="4" t="n">
        <v>1001.22</v>
      </c>
      <c r="E7" s="5" t="n">
        <v>0.617</v>
      </c>
      <c r="F7" s="4" t="n">
        <v>617.75</v>
      </c>
    </row>
    <row r="8">
      <c r="A8" s="3" t="inlineStr">
        <is>
          <t>ø14</t>
        </is>
      </c>
      <c r="B8" s="3" t="inlineStr">
        <is>
          <t>montaj</t>
        </is>
      </c>
      <c r="C8" s="3" t="n">
        <v>3</v>
      </c>
      <c r="D8" s="4" t="n">
        <v>24</v>
      </c>
      <c r="E8" s="5" t="n">
        <v>1.208</v>
      </c>
      <c r="F8" s="4" t="n">
        <v>28.99</v>
      </c>
    </row>
    <row r="9">
      <c r="A9" s="3" t="inlineStr">
        <is>
          <t>ø16</t>
        </is>
      </c>
      <c r="B9" s="3" t="inlineStr">
        <is>
          <t>govde</t>
        </is>
      </c>
      <c r="C9" s="3" t="n">
        <v>4</v>
      </c>
      <c r="D9" s="4" t="n">
        <v>17.7</v>
      </c>
      <c r="E9" s="5" t="n">
        <v>1.578</v>
      </c>
      <c r="F9" s="4" t="n">
        <v>27.93</v>
      </c>
    </row>
    <row r="10">
      <c r="A10" s="3" t="inlineStr">
        <is>
          <t>ø16</t>
        </is>
      </c>
      <c r="B10" s="3" t="inlineStr">
        <is>
          <t>ilave</t>
        </is>
      </c>
      <c r="C10" s="3" t="n">
        <v>7</v>
      </c>
      <c r="D10" s="4" t="n">
        <v>16.9</v>
      </c>
      <c r="E10" s="5" t="n">
        <v>1.578</v>
      </c>
      <c r="F10" s="4" t="n">
        <v>26.67</v>
      </c>
    </row>
    <row r="11">
      <c r="A11" s="3" t="inlineStr">
        <is>
          <t>ø16</t>
        </is>
      </c>
      <c r="B11" s="3" t="inlineStr">
        <is>
          <t>montaj</t>
        </is>
      </c>
      <c r="C11" s="3" t="n">
        <v>54</v>
      </c>
      <c r="D11" s="4" t="n">
        <v>282</v>
      </c>
      <c r="E11" s="5" t="n">
        <v>1.578</v>
      </c>
      <c r="F11" s="4" t="n">
        <v>445</v>
      </c>
    </row>
    <row r="12">
      <c r="A12" s="3" t="inlineStr">
        <is>
          <t>ø16</t>
        </is>
      </c>
      <c r="B12" s="3" t="inlineStr">
        <is>
          <t>pilye</t>
        </is>
      </c>
      <c r="C12" s="3" t="n">
        <v>18</v>
      </c>
      <c r="D12" s="4" t="n">
        <v>89.65000000000001</v>
      </c>
      <c r="E12" s="5" t="n">
        <v>1.578</v>
      </c>
      <c r="F12" s="4" t="n">
        <v>141.47</v>
      </c>
    </row>
    <row r="13">
      <c r="A13" s="3" t="inlineStr">
        <is>
          <t>ø20</t>
        </is>
      </c>
      <c r="B13" s="3" t="inlineStr">
        <is>
          <t>ilave</t>
        </is>
      </c>
      <c r="C13" s="3" t="n">
        <v>9</v>
      </c>
      <c r="D13" s="4" t="n">
        <v>35.4</v>
      </c>
      <c r="E13" s="5" t="n">
        <v>2.466</v>
      </c>
      <c r="F13" s="4" t="n">
        <v>87.3</v>
      </c>
    </row>
    <row r="14">
      <c r="A14" s="3" t="inlineStr">
        <is>
          <t>ø20</t>
        </is>
      </c>
      <c r="B14" s="3" t="inlineStr">
        <is>
          <t>pilye</t>
        </is>
      </c>
      <c r="C14" s="3" t="n">
        <v>15</v>
      </c>
      <c r="D14" s="4" t="n">
        <v>129.6</v>
      </c>
      <c r="E14" s="5" t="n">
        <v>2.466</v>
      </c>
      <c r="F14" s="4" t="n">
        <v>319.59</v>
      </c>
    </row>
    <row r="15">
      <c r="A15" s="3" t="inlineStr">
        <is>
          <t>ø25</t>
        </is>
      </c>
      <c r="B15" s="3" t="inlineStr">
        <is>
          <t>ilave</t>
        </is>
      </c>
      <c r="C15" s="3" t="n">
        <v>7</v>
      </c>
      <c r="D15" s="4" t="n">
        <v>25.9</v>
      </c>
      <c r="E15" s="5" t="n">
        <v>3.853</v>
      </c>
      <c r="F15" s="4" t="n">
        <v>99.79000000000001</v>
      </c>
    </row>
    <row r="16">
      <c r="A16" s="6" t="inlineStr">
        <is>
          <t>TOPLAM / TOTAL</t>
        </is>
      </c>
      <c r="B16" s="3" t="n"/>
      <c r="C16" s="3" t="n"/>
      <c r="D16" s="7">
        <f>SUM(D7:D15)</f>
        <v/>
      </c>
      <c r="E16" s="3" t="n"/>
      <c r="F16" s="7">
        <f>SUM(F7:F15)</f>
        <v/>
      </c>
    </row>
  </sheetData>
  <mergeCells count="2">
    <mergeCell ref="A16:C1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12" customWidth="1" min="5" max="5"/>
  </cols>
  <sheetData>
    <row r="1">
      <c r="A1" s="8" t="inlineStr">
        <is>
          <t>DIAMETER SUMMARY - ÇAP BAZINDA ÖZET</t>
        </is>
      </c>
    </row>
    <row r="3">
      <c r="A3" s="9" t="inlineStr">
        <is>
          <t>ÇAP (mm)</t>
        </is>
      </c>
      <c r="B3" s="9" t="inlineStr">
        <is>
          <t>TOPLAM BOY (m)</t>
        </is>
      </c>
      <c r="C3" s="9" t="inlineStr">
        <is>
          <t>BİRİM AĞIRLIK (kg/m)</t>
        </is>
      </c>
      <c r="D3" s="9" t="inlineStr">
        <is>
          <t>TOPLAM AĞIRLIK (kg)</t>
        </is>
      </c>
      <c r="E3" s="9" t="inlineStr">
        <is>
          <t>ORAN (%)</t>
        </is>
      </c>
    </row>
    <row r="4">
      <c r="A4" s="3" t="inlineStr">
        <is>
          <t>ø10</t>
        </is>
      </c>
      <c r="B4" s="4" t="n">
        <v>1001.22</v>
      </c>
      <c r="C4" s="5" t="n">
        <v>0.617</v>
      </c>
      <c r="D4" s="4" t="n">
        <v>617.75</v>
      </c>
      <c r="E4" s="10" t="n">
        <v>34.42482380257869</v>
      </c>
    </row>
    <row r="5">
      <c r="A5" s="3" t="inlineStr">
        <is>
          <t>ø14</t>
        </is>
      </c>
      <c r="B5" s="4" t="n">
        <v>24</v>
      </c>
      <c r="C5" s="5" t="n">
        <v>1.208</v>
      </c>
      <c r="D5" s="4" t="n">
        <v>28.99</v>
      </c>
      <c r="E5" s="10" t="n">
        <v>1.615500836967634</v>
      </c>
    </row>
    <row r="6">
      <c r="A6" s="3" t="inlineStr">
        <is>
          <t>ø16</t>
        </is>
      </c>
      <c r="B6" s="4" t="n">
        <v>406.25</v>
      </c>
      <c r="C6" s="5" t="n">
        <v>1.578</v>
      </c>
      <c r="D6" s="4" t="n">
        <v>641.0599999999999</v>
      </c>
      <c r="E6" s="10" t="n">
        <v>35.72380015682896</v>
      </c>
    </row>
    <row r="7">
      <c r="A7" s="3" t="inlineStr">
        <is>
          <t>ø20</t>
        </is>
      </c>
      <c r="B7" s="4" t="n">
        <v>165</v>
      </c>
      <c r="C7" s="5" t="n">
        <v>2.466</v>
      </c>
      <c r="D7" s="4" t="n">
        <v>406.89</v>
      </c>
      <c r="E7" s="10" t="n">
        <v>22.67440964311006</v>
      </c>
    </row>
    <row r="8">
      <c r="A8" s="3" t="inlineStr">
        <is>
          <t>ø25</t>
        </is>
      </c>
      <c r="B8" s="4" t="n">
        <v>25.9</v>
      </c>
      <c r="C8" s="5" t="n">
        <v>3.853</v>
      </c>
      <c r="D8" s="4" t="n">
        <v>99.79000000000001</v>
      </c>
      <c r="E8" s="10" t="n">
        <v>5.560911642669895</v>
      </c>
    </row>
    <row r="9">
      <c r="A9" s="11" t="inlineStr">
        <is>
          <t>TOPLAM</t>
        </is>
      </c>
      <c r="B9" s="7">
        <f>SUM(B4:B8)</f>
        <v/>
      </c>
      <c r="C9" s="11" t="n"/>
      <c r="D9" s="7">
        <f>SUM(D4:D8)</f>
        <v/>
      </c>
      <c r="E9" s="12">
        <f>SUM(E4:E8)</f>
        <v/>
      </c>
    </row>
    <row r="11">
      <c r="A11" s="13" t="inlineStr">
        <is>
          <t>TOPLAM (ton)</t>
        </is>
      </c>
      <c r="D11" s="14">
        <f>D9/1000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2026-01-22T13:33:48Z</dcterms:created>
  <dcterms:modified xsi:type="dcterms:W3CDTF">2026-01-22T13:33:48Z</dcterms:modified>
</cp:coreProperties>
</file>