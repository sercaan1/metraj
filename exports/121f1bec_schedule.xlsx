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bar Schedule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00"/>
    <numFmt numFmtId="165" formatCode="0.0"/>
    <numFmt numFmtId="166" formatCode="#,##0.000"/>
  </numFmts>
  <fonts count="6">
    <font>
      <name val="Calibri"/>
      <family val="2"/>
      <color theme="1"/>
      <sz val="11"/>
      <scheme val="minor"/>
    </font>
    <font>
      <b val="1"/>
      <sz val="16"/>
    </font>
    <font>
      <b val="1"/>
      <color rgb="00FFFFFF"/>
      <sz val="11"/>
    </font>
    <font>
      <b val="1"/>
      <sz val="12"/>
    </font>
    <font>
      <b val="1"/>
      <sz val="14"/>
    </font>
    <font>
      <b val="1"/>
      <color rgb="00FF0000"/>
      <sz val="12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FC000"/>
        <bgColor rgb="00FFC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1" applyAlignment="1" pivotButton="0" quotePrefix="0" xfId="0">
      <alignment horizontal="center" vertical="center"/>
    </xf>
    <xf numFmtId="0" fontId="0" fillId="0" borderId="1" pivotButton="0" quotePrefix="0" xfId="0"/>
    <xf numFmtId="4" fontId="0" fillId="0" borderId="1" pivotButton="0" quotePrefix="0" xfId="0"/>
    <xf numFmtId="164" fontId="0" fillId="0" borderId="1" pivotButton="0" quotePrefix="0" xfId="0"/>
    <xf numFmtId="0" fontId="3" fillId="0" borderId="1" pivotButton="0" quotePrefix="0" xfId="0"/>
    <xf numFmtId="4" fontId="3" fillId="3" borderId="1" pivotButton="0" quotePrefix="0" xfId="0"/>
    <xf numFmtId="0" fontId="4" fillId="0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165" fontId="0" fillId="0" borderId="1" pivotButton="0" quotePrefix="0" xfId="0"/>
    <xf numFmtId="0" fontId="3" fillId="3" borderId="1" pivotButton="0" quotePrefix="0" xfId="0"/>
    <xf numFmtId="165" fontId="3" fillId="3" borderId="1" pivotButton="0" quotePrefix="0" xfId="0"/>
    <xf numFmtId="0" fontId="5" fillId="0" borderId="0" pivotButton="0" quotePrefix="0" xfId="0"/>
    <xf numFmtId="166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2" customWidth="1" min="4" max="4"/>
    <col width="15" customWidth="1" min="5" max="5"/>
    <col width="18" customWidth="1" min="6" max="6"/>
    <col width="15" customWidth="1" min="7" max="7"/>
    <col width="20" customWidth="1" min="8" max="8"/>
  </cols>
  <sheetData>
    <row r="1">
      <c r="A1" s="1" t="inlineStr">
        <is>
          <t>STEEL QUANTITY TAKEOFF - ÇELİK METRAJ</t>
        </is>
      </c>
    </row>
    <row r="2">
      <c r="A2" t="inlineStr">
        <is>
          <t>Project: 121f1bec</t>
        </is>
      </c>
    </row>
    <row r="3">
      <c r="A3" t="inlineStr">
        <is>
          <t>File: uploads\121f1bec.dxf</t>
        </is>
      </c>
    </row>
    <row r="4">
      <c r="A4" t="inlineStr">
        <is>
          <t>Date: 2026-01-22 16:18</t>
        </is>
      </c>
    </row>
    <row r="6">
      <c r="A6" s="2" t="inlineStr">
        <is>
          <t>POZ NO</t>
        </is>
      </c>
      <c r="B6" s="2" t="inlineStr">
        <is>
          <t>ÇAP (mm)</t>
        </is>
      </c>
      <c r="C6" s="2" t="inlineStr">
        <is>
          <t>ADET</t>
        </is>
      </c>
      <c r="D6" s="2" t="inlineStr">
        <is>
          <t>BOY (cm)</t>
        </is>
      </c>
      <c r="E6" s="2" t="inlineStr">
        <is>
          <t>TOPLAM BOY (m)</t>
        </is>
      </c>
      <c r="F6" s="2" t="inlineStr">
        <is>
          <t>BİRİM AĞIRLIK (kg/m)</t>
        </is>
      </c>
      <c r="G6" s="2" t="inlineStr">
        <is>
          <t>AĞIRLIK (kg)</t>
        </is>
      </c>
      <c r="H6" s="2" t="inlineStr">
        <is>
          <t>YER</t>
        </is>
      </c>
    </row>
    <row r="7">
      <c r="A7" s="3" t="inlineStr">
        <is>
          <t>NO_POZ</t>
        </is>
      </c>
      <c r="B7" s="3" t="n">
        <v>8</v>
      </c>
      <c r="C7" s="3" t="n">
        <v>990</v>
      </c>
      <c r="D7" s="3" t="n">
        <v>265</v>
      </c>
      <c r="E7" s="4">
        <f>C7*D7/100</f>
        <v/>
      </c>
      <c r="F7" s="5" t="n">
        <v>0.395</v>
      </c>
      <c r="G7" s="4">
        <f>E7*F7</f>
        <v/>
      </c>
      <c r="H7" s="3" t="inlineStr"/>
    </row>
    <row r="8">
      <c r="A8" s="6" t="inlineStr">
        <is>
          <t>TOPLAM / TOTAL</t>
        </is>
      </c>
      <c r="B8" s="3" t="n"/>
      <c r="C8" s="3" t="n"/>
      <c r="D8" s="3" t="n"/>
      <c r="E8" s="7">
        <f>SUM(E7:E7)</f>
        <v/>
      </c>
      <c r="F8" s="3" t="n"/>
      <c r="G8" s="7">
        <f>SUM(G7:G7)</f>
        <v/>
      </c>
      <c r="H8" s="3" t="n"/>
    </row>
  </sheetData>
  <mergeCells count="2">
    <mergeCell ref="A8:D8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20" customWidth="1" min="3" max="3"/>
    <col width="20" customWidth="1" min="4" max="4"/>
    <col width="12" customWidth="1" min="5" max="5"/>
  </cols>
  <sheetData>
    <row r="1">
      <c r="A1" s="8" t="inlineStr">
        <is>
          <t>DIAMETER SUMMARY - ÇAP BAZINDA ÖZET</t>
        </is>
      </c>
    </row>
    <row r="3">
      <c r="A3" s="9" t="inlineStr">
        <is>
          <t>ÇAP (mm)</t>
        </is>
      </c>
      <c r="B3" s="9" t="inlineStr">
        <is>
          <t>TOPLAM BOY (m)</t>
        </is>
      </c>
      <c r="C3" s="9" t="inlineStr">
        <is>
          <t>BİRİM AĞIRLIK (kg/m)</t>
        </is>
      </c>
      <c r="D3" s="9" t="inlineStr">
        <is>
          <t>TOPLAM AĞIRLIK (kg)</t>
        </is>
      </c>
      <c r="E3" s="9" t="inlineStr">
        <is>
          <t>ORAN (%)</t>
        </is>
      </c>
    </row>
    <row r="4">
      <c r="A4" s="3" t="inlineStr">
        <is>
          <t>ø8</t>
        </is>
      </c>
      <c r="B4" s="4" t="n">
        <v>5102.7</v>
      </c>
      <c r="C4" s="5" t="n">
        <v>0.395</v>
      </c>
      <c r="D4" s="4" t="n">
        <v>2015.57</v>
      </c>
      <c r="E4" s="10" t="n">
        <v>56.95675307087049</v>
      </c>
    </row>
    <row r="5">
      <c r="A5" s="3" t="inlineStr">
        <is>
          <t>ø10</t>
        </is>
      </c>
      <c r="B5" s="4" t="n">
        <v>1542.95</v>
      </c>
      <c r="C5" s="5" t="n">
        <v>0.617</v>
      </c>
      <c r="D5" s="4" t="n">
        <v>952</v>
      </c>
      <c r="E5" s="10" t="n">
        <v>26.90198252775577</v>
      </c>
    </row>
    <row r="6">
      <c r="A6" s="3" t="inlineStr">
        <is>
          <t>ø12</t>
        </is>
      </c>
      <c r="B6" s="4" t="n">
        <v>643.25</v>
      </c>
      <c r="C6" s="5" t="n">
        <v>0.888</v>
      </c>
      <c r="D6" s="4" t="n">
        <v>571.21</v>
      </c>
      <c r="E6" s="10" t="n">
        <v>16.14147210050355</v>
      </c>
    </row>
    <row r="7">
      <c r="A7" s="11" t="inlineStr">
        <is>
          <t>TOPLAM</t>
        </is>
      </c>
      <c r="B7" s="7">
        <f>SUM(B4:B6)</f>
        <v/>
      </c>
      <c r="C7" s="11" t="n"/>
      <c r="D7" s="7">
        <f>SUM(D4:D6)</f>
        <v/>
      </c>
      <c r="E7" s="12">
        <f>SUM(E4:E6)</f>
        <v/>
      </c>
    </row>
    <row r="9">
      <c r="A9" s="13" t="inlineStr">
        <is>
          <t>TOPLAM (ton)</t>
        </is>
      </c>
      <c r="D9" s="14">
        <f>D7/1000</f>
        <v/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2026-01-22T13:18:20Z</dcterms:created>
  <dcterms:modified xsi:type="dcterms:W3CDTF">2026-01-22T13:18:20Z</dcterms:modified>
</cp:coreProperties>
</file>